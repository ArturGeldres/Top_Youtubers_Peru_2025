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\Desktop\top_youtubers_peru_2025\"/>
    </mc:Choice>
  </mc:AlternateContent>
  <xr:revisionPtr revIDLastSave="0" documentId="13_ncr:1_{4B37397B-FC0A-4A6D-B6D9-C99051339697}" xr6:coauthVersionLast="47" xr6:coauthVersionMax="47" xr10:uidLastSave="{00000000-0000-0000-0000-000000000000}"/>
  <bookViews>
    <workbookView xWindow="984" yWindow="2100" windowWidth="17280" windowHeight="8880" xr2:uid="{3091CFCB-1224-4627-84A3-028FA3521797}"/>
  </bookViews>
  <sheets>
    <sheet name="total subs anali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G10" i="1"/>
  <c r="G11" i="1"/>
  <c r="G12" i="1"/>
  <c r="G13" i="1"/>
  <c r="E10" i="1"/>
  <c r="E11" i="1"/>
  <c r="E12" i="1"/>
  <c r="E13" i="1"/>
  <c r="H11" i="1"/>
  <c r="H12" i="1"/>
  <c r="H13" i="1"/>
  <c r="H10" i="1"/>
  <c r="J10" i="1" s="1"/>
  <c r="F11" i="1"/>
  <c r="F12" i="1"/>
  <c r="F13" i="1"/>
  <c r="F10" i="1"/>
  <c r="J11" i="1"/>
  <c r="D12" i="1"/>
  <c r="D11" i="1"/>
  <c r="D13" i="1"/>
  <c r="D10" i="1"/>
  <c r="J13" i="1"/>
  <c r="J12" i="1" l="1"/>
</calcChain>
</file>

<file path=xl/sharedStrings.xml><?xml version="1.0" encoding="utf-8"?>
<sst xmlns="http://schemas.openxmlformats.org/spreadsheetml/2006/main" count="20" uniqueCount="20">
  <si>
    <t>TOTAL SUBSCRIBERS ANALISIS</t>
  </si>
  <si>
    <t>Reconciliations (excel vs sql)</t>
  </si>
  <si>
    <t>Nombre del canal</t>
  </si>
  <si>
    <t>Promedio de vistas por video (Excel)</t>
  </si>
  <si>
    <t>Promedio de vistas por video (SQL)</t>
  </si>
  <si>
    <t>Conversion del porcentaje</t>
  </si>
  <si>
    <t>Costo Producto</t>
  </si>
  <si>
    <t>Costo Compania</t>
  </si>
  <si>
    <t>Potencia Producto (Excel)</t>
  </si>
  <si>
    <t>Potencia Producto (SQL)</t>
  </si>
  <si>
    <t>Utilidad Neta (Excel)</t>
  </si>
  <si>
    <t>Utilidad Neta(SQL)</t>
  </si>
  <si>
    <t>Diferencia</t>
  </si>
  <si>
    <t>Potencial venta de producto por video (Excel)</t>
  </si>
  <si>
    <t>Potencial venta de producto por video (SQL)</t>
  </si>
  <si>
    <t>RoxiCake Gamer</t>
  </si>
  <si>
    <t>Drawblogs</t>
  </si>
  <si>
    <t>Gravity Play</t>
  </si>
  <si>
    <t>Golemcito Games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</si>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</sst>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4" fillId="4" borderId="1" xfId="4" applyBorder="1" applyAlignment="1">
      <alignment horizontal="center" vertical="center" wrapText="1"/>
    </xf>
    <xf numFmtId="0" fontId="3" fillId="3" borderId="1" xfId="3" applyBorder="1" applyAlignment="1">
      <alignment horizontal="center" vertical="center" wrapText="1"/>
    </xf>
    <xf numFmtId="0" fontId="2" fillId="2" borderId="1" xfId="2" applyBorder="1" applyAlignment="1">
      <alignment horizontal="center" vertical="center" wrapText="1"/>
    </xf>
    <xf numFmtId="0" fontId="1" fillId="5" borderId="1" xfId="5" applyBorder="1" applyAlignment="1">
      <alignment horizontal="center" vertical="center" wrapText="1"/>
    </xf>
    <xf numFmtId="0" fontId="1" fillId="5" borderId="1" xfId="5" applyBorder="1"/>
    <xf numFmtId="43" fontId="0" fillId="0" borderId="1" xfId="1" applyFont="1" applyBorder="1"/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6">
    <cellStyle name="20% - Énfasis1" xfId="5" builtinId="30"/>
    <cellStyle name="Bueno" xfId="2" builtinId="26"/>
    <cellStyle name="Incorrecto" xfId="3" builtinId="27"/>
    <cellStyle name="Millares" xfId="1" builtinId="3"/>
    <cellStyle name="Neutral" xfId="4" builtinId="2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75F9-31F7-4082-890A-A82C8F002FAB}">
  <dimension ref="A1:J13"/>
  <sheetViews>
    <sheetView tabSelected="1" workbookViewId="0">
      <selection sqref="A1:D1"/>
    </sheetView>
  </sheetViews>
  <sheetFormatPr baseColWidth="10" defaultRowHeight="14.4" x14ac:dyDescent="0.3"/>
  <cols>
    <col min="1" max="1" width="15.88671875" customWidth="1"/>
    <col min="2" max="2" width="21.77734375" customWidth="1"/>
    <col min="3" max="3" width="21.33203125" customWidth="1"/>
    <col min="4" max="4" width="15.77734375" bestFit="1" customWidth="1"/>
    <col min="5" max="5" width="14" customWidth="1"/>
    <col min="6" max="6" width="13.5546875" customWidth="1"/>
  </cols>
  <sheetData>
    <row r="1" spans="1:10" ht="21" x14ac:dyDescent="0.4">
      <c r="A1" s="9" t="s">
        <v>0</v>
      </c>
      <c r="B1" s="10"/>
      <c r="C1" s="10"/>
      <c r="D1" s="10"/>
    </row>
    <row r="4" spans="1:10" x14ac:dyDescent="0.3">
      <c r="A4" t="s">
        <v>1</v>
      </c>
      <c r="C4" s="7" t="s">
        <v>5</v>
      </c>
      <c r="D4" s="1">
        <v>0.02</v>
      </c>
    </row>
    <row r="5" spans="1:10" x14ac:dyDescent="0.3">
      <c r="C5" s="7" t="s">
        <v>6</v>
      </c>
      <c r="D5" s="1">
        <v>5</v>
      </c>
    </row>
    <row r="6" spans="1:10" x14ac:dyDescent="0.3">
      <c r="C6" s="7" t="s">
        <v>7</v>
      </c>
      <c r="D6" s="8">
        <v>50000</v>
      </c>
      <c r="E6" t="s">
        <v>19</v>
      </c>
    </row>
    <row r="9" spans="1:10" ht="47.4" customHeight="1" x14ac:dyDescent="0.3">
      <c r="A9" s="2" t="s">
        <v>2</v>
      </c>
      <c r="B9" s="3" t="s">
        <v>3</v>
      </c>
      <c r="C9" s="3" t="s">
        <v>4</v>
      </c>
      <c r="D9" s="4" t="s">
        <v>13</v>
      </c>
      <c r="E9" s="4" t="s">
        <v>14</v>
      </c>
      <c r="F9" s="5" t="s">
        <v>8</v>
      </c>
      <c r="G9" s="5" t="s">
        <v>9</v>
      </c>
      <c r="H9" s="6" t="s">
        <v>10</v>
      </c>
      <c r="I9" s="6" t="s">
        <v>11</v>
      </c>
      <c r="J9" s="2" t="s">
        <v>12</v>
      </c>
    </row>
    <row r="10" spans="1:10" x14ac:dyDescent="0.3">
      <c r="A10" s="1" t="s">
        <v>15</v>
      </c>
      <c r="B10" s="8">
        <v>5760000</v>
      </c>
      <c r="C10" s="8">
        <v>5760000</v>
      </c>
      <c r="D10" s="8">
        <f t="shared" ref="D10:E12" si="0">B10*$D$4</f>
        <v>115200</v>
      </c>
      <c r="E10" s="8">
        <f t="shared" si="0"/>
        <v>115200</v>
      </c>
      <c r="F10" s="8">
        <f>D10*$D$5</f>
        <v>576000</v>
      </c>
      <c r="G10" s="8">
        <f>E10*$D$5</f>
        <v>576000</v>
      </c>
      <c r="H10" s="8">
        <f>F10-$D$6</f>
        <v>526000</v>
      </c>
      <c r="I10" s="8">
        <f>G10-$D$6</f>
        <v>526000</v>
      </c>
      <c r="J10" s="8">
        <f>H10-I10</f>
        <v>0</v>
      </c>
    </row>
    <row r="11" spans="1:10" x14ac:dyDescent="0.3">
      <c r="A11" s="1" t="s">
        <v>16</v>
      </c>
      <c r="B11" s="8">
        <v>4880000</v>
      </c>
      <c r="C11" s="8">
        <v>4880000</v>
      </c>
      <c r="D11" s="8">
        <f t="shared" si="0"/>
        <v>97600</v>
      </c>
      <c r="E11" s="8">
        <f t="shared" si="0"/>
        <v>97600</v>
      </c>
      <c r="F11" s="8">
        <f t="shared" ref="F11:G13" si="1">D11*$D$5</f>
        <v>488000</v>
      </c>
      <c r="G11" s="8">
        <f t="shared" si="1"/>
        <v>488000</v>
      </c>
      <c r="H11" s="8">
        <f t="shared" ref="H11:I13" si="2">F11-$D$6</f>
        <v>438000</v>
      </c>
      <c r="I11" s="8">
        <f t="shared" si="2"/>
        <v>438000</v>
      </c>
      <c r="J11" s="8">
        <f t="shared" ref="J11:J13" si="3">H11-I11</f>
        <v>0</v>
      </c>
    </row>
    <row r="12" spans="1:10" x14ac:dyDescent="0.3">
      <c r="A12" s="1" t="s">
        <v>17</v>
      </c>
      <c r="B12" s="8">
        <v>2280000</v>
      </c>
      <c r="C12" s="8">
        <v>2280000</v>
      </c>
      <c r="D12" s="8">
        <f t="shared" si="0"/>
        <v>45600</v>
      </c>
      <c r="E12" s="8">
        <f t="shared" si="0"/>
        <v>45600</v>
      </c>
      <c r="F12" s="8">
        <f t="shared" si="1"/>
        <v>228000</v>
      </c>
      <c r="G12" s="8">
        <f t="shared" si="1"/>
        <v>228000</v>
      </c>
      <c r="H12" s="8">
        <f t="shared" si="2"/>
        <v>178000</v>
      </c>
      <c r="I12" s="8">
        <f t="shared" si="2"/>
        <v>178000</v>
      </c>
      <c r="J12" s="8">
        <f t="shared" si="3"/>
        <v>0</v>
      </c>
    </row>
    <row r="13" spans="1:10" x14ac:dyDescent="0.3">
      <c r="A13" s="1" t="s">
        <v>18</v>
      </c>
      <c r="B13" s="8">
        <v>1630000</v>
      </c>
      <c r="C13" s="8">
        <v>1630000</v>
      </c>
      <c r="D13" s="8">
        <f t="shared" ref="D13:E13" si="4">B13*$D$4</f>
        <v>32600</v>
      </c>
      <c r="E13" s="8">
        <f t="shared" si="4"/>
        <v>32600</v>
      </c>
      <c r="F13" s="8">
        <f t="shared" si="1"/>
        <v>163000</v>
      </c>
      <c r="G13" s="8">
        <f t="shared" si="1"/>
        <v>163000</v>
      </c>
      <c r="H13" s="8">
        <f t="shared" si="2"/>
        <v>113000</v>
      </c>
      <c r="I13" s="8">
        <f t="shared" si="2"/>
        <v>113000</v>
      </c>
      <c r="J13" s="8">
        <f t="shared" si="3"/>
        <v>0</v>
      </c>
    </row>
  </sheetData>
  <mergeCells count="1">
    <mergeCell ref="A1:D1"/>
  </mergeCells>
  <conditionalFormatting sqref="J10:J13">
    <cfRule type="expression" dxfId="0" priority="1">
      <formula>$J$10&lt;&gt;0</formula>
    </cfRule>
  </conditionalFormatting>
  <conditionalFormatting sqref="K18">
    <cfRule type="expression" priority="2">
      <formula>$J$10&lt;&gt;0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subs 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Geldres</dc:creator>
  <cp:lastModifiedBy>Arturo Geldres</cp:lastModifiedBy>
  <dcterms:created xsi:type="dcterms:W3CDTF">2026-03-26T15:54:53Z</dcterms:created>
  <dcterms:modified xsi:type="dcterms:W3CDTF">2026-03-26T17:19:41Z</dcterms:modified>
</cp:coreProperties>
</file>